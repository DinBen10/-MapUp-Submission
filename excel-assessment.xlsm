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M\Downloads\"/>
    </mc:Choice>
  </mc:AlternateContent>
  <xr:revisionPtr revIDLastSave="0" documentId="13_ncr:1_{9AF2CAFB-C3C4-4852-A1AE-F41E660C9CD8}" xr6:coauthVersionLast="47" xr6:coauthVersionMax="47" xr10:uidLastSave="{00000000-0000-0000-0000-000000000000}"/>
  <bookViews>
    <workbookView xWindow="-120" yWindow="-120" windowWidth="20730" windowHeight="1131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19" l="1" a="1"/>
  <c r="C22" i="19" s="1"/>
  <c r="B28" i="18"/>
  <c r="B29" i="18"/>
  <c r="B30" i="18"/>
  <c r="C28" i="18"/>
  <c r="D28" i="18"/>
  <c r="E28" i="18"/>
  <c r="F28" i="18"/>
  <c r="C30" i="18"/>
  <c r="D30" i="18"/>
  <c r="E30" i="18"/>
  <c r="F30" i="18"/>
  <c r="C29" i="18"/>
  <c r="D29" i="18"/>
  <c r="E29" i="18"/>
  <c r="F29" i="18"/>
  <c r="B6" i="18" a="1"/>
  <c r="B6" i="18" s="1"/>
  <c r="B7" i="18" a="1"/>
  <c r="B7" i="18" s="1"/>
  <c r="B8" i="18" a="1"/>
  <c r="B8" i="18" s="1"/>
  <c r="B9" i="18" a="1"/>
  <c r="B9" i="18" s="1"/>
  <c r="B10" i="18" a="1"/>
  <c r="B10" i="18" s="1"/>
  <c r="B11" i="18" a="1"/>
  <c r="B11" i="18" s="1"/>
  <c r="B12" i="18" a="1"/>
  <c r="B12" i="18" s="1"/>
  <c r="B13" i="18" a="1"/>
  <c r="B13" i="18" s="1"/>
  <c r="B14" i="18" a="1"/>
  <c r="B14" i="18" s="1"/>
  <c r="B15" i="18" a="1"/>
  <c r="B15" i="18" s="1"/>
  <c r="B16" i="18" a="1"/>
  <c r="B16" i="18" s="1"/>
  <c r="B17" i="18" a="1"/>
  <c r="B17" i="18" s="1"/>
  <c r="B18" i="18" a="1"/>
  <c r="B18" i="18" s="1"/>
  <c r="B19" i="18" a="1"/>
  <c r="B19" i="18" s="1"/>
  <c r="B20" i="18" a="1"/>
  <c r="B20" i="18" s="1"/>
  <c r="B21" i="18" a="1"/>
  <c r="B21" i="18" s="1"/>
  <c r="B22" i="18" a="1"/>
  <c r="B22" i="18" s="1"/>
  <c r="B23" i="18" a="1"/>
  <c r="B23" i="18" s="1"/>
  <c r="B24" i="18" a="1"/>
  <c r="B24" i="18" s="1"/>
  <c r="B25" i="18" a="1"/>
  <c r="B25" i="18" s="1"/>
  <c r="B26" i="18" a="1"/>
  <c r="B26" i="18" s="1"/>
  <c r="B27" i="18" a="1"/>
  <c r="B27" i="18" s="1"/>
  <c r="D5" i="1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<sst xmlns="http://schemas.openxmlformats.org/spreadsheetml/2006/main" count="408" uniqueCount="183">
  <si>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</si>
  <si>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</si>
  <si>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</si>
  <si>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</si>
  <si>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</si>
  <si>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</si>
  <si>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</si>
  <si>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</si>
  <si>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</si>
  <si>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</si>
  <si>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</si>
  <si>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</si>
  <si>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</si>
  <si>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</si>
  <si>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</si>
  <si>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</si>
  <si>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</si>
  <si>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</si>
  <si>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</si>
  <si>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</si>
  <si>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</si>
  <si>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</si>
  <si>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</si>
  <si>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</si>
  <si>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</si>
  <si>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</si>
  <si>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</si>
  <si>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</si>
  <si>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</si>
  <si>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</si>
  <si>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</si>
  <si>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</si>
  <si>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</si>
  <si>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</si>
  <si>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</si>
  <si>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</si>
  <si>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</si>
  <si>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</si>
  <si>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</si>
  <si>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</si>
  <si>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</si>
  <si>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</si>
  <si>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</si>
  <si>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</si>
  <si>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</si>
  <si>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</si>
  <si>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</si>
  <si>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</si>
  <si>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</si>
  <si>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</si>
  <si>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</si>
  <si>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</si>
  <si>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</si>
  <si>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</si>
  <si>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</si>
  <si>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</si>
  <si>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</si>
  <si>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</si>
  <si>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</si>
  <si>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</si>
  <si>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</si>
  <si>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</si>
  <si>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</si>
  <si>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</si>
  <si>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</si>
  <si>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</si>
  <si>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</si>
  <si>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</si>
  <si>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</si>
  <si>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</si>
  <si>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</si>
  <si>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</si>
  <si>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</si>
  <si>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</si>
  <si>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</si>
  <si>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</si>
  <si>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</si>
  <si>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</si>
  <si>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</si>
  <si>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</si>
  <si>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</si>
  <si>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</si>
  <si>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</si>
  <si>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</si>
  <si>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</si>
  <si>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</si>
  <si>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</si>
  <si>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</si>
  <si>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</si>
  <si>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</si>
  <si>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</si>
  <si>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</si>
  <si>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</si>
  <si>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</si>
  <si>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</si>
  <si>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</si>
  <si>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</si>
  <si>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</si>
  <si>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</si>
  <si>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</si>
  <si>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</si>
  <si>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</si>
  <si>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</si>
  <si>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</si>
  <si>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</si>
  <si>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</si>
  <si>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</si>
  <si>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</si>
  <si>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</si>
  <si>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</si>
  <si>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</si>
  <si>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</si>
  <si>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</si>
  <si>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</si>
  <si>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</si>
  <si>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</si>
  <si>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</si>
  <si>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</si>
  <si>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</si>
  <si>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</si>
  <si>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</si>
  <si>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</si>
  <si>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</si>
  <si>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</si>
  <si>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</si>
  <si>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</si>
  <si>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</si>
  <si>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</si>
  <si>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</si>
  <si>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</si>
  <si>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</si>
  <si>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</si>
  <si>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</si>
  <si>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</si>
  <si>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</si>
  <si>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</si>
  <si>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</si>
  <si>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</si>
  <si>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</si>
  <si>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</si>
  <si>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</si>
  <si>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</si>
  <si>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</si>
  <si>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</si>
  <si>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</si>
  <si>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</si>
  <si>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</si>
  <si>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</si>
  <si>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</si>
  <si>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</si>
  <si>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</si>
  <si>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</si>
  <si>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</si>
  <si>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</si>
  <si>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</si>
  <si>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</si>
  <si>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</si>
  <si>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</si>
  <si>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</si>
  <si>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</si>
  <si>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</si>
  <si>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</si>
  <si>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</si>
  <si>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</si>
  <si>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</si>
  <si>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</si>
  <si>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</si>
  <si>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</si>
  <si>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</si>
  <si>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</si>
  <si>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</si>
  <si>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</si>
  <si>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</si>
  <si>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</si>
  <si>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</si>
  <si>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</si>
  <si>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</si>
  <si>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"=SUMIF(Dataset!H2:H40,"&gt;20")"</t>
  </si>
  <si>
    <t>done</t>
  </si>
  <si>
    <t>Text to columns</t>
  </si>
  <si>
    <t>1.select values from Table_A table. 2.Clicked on Text to Columns in the Data ribbon. 3.Selected the hyphen ('-') as the delimiter that separates the values. 4.selected required column for split values. 5.Executed the Text to Columns operation by clicking Finish.</t>
  </si>
  <si>
    <t>"=SUM(IFERROR(C12:C21,20))"</t>
  </si>
  <si>
    <t>used sum &amp; iferror function together to calculate all values &amp; if error occurs then it wil replace with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</si>
</sst>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\-mm\-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20" sqref="A20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6" t="s">
        <v>171</v>
      </c>
      <c r="B9" s="26" t="s">
        <v>169</v>
      </c>
    </row>
    <row r="10" spans="1:3" x14ac:dyDescent="0.2">
      <c r="A10" s="35" t="s">
        <v>172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" activePane="bottomLeft" state="frozen"/>
      <selection pane="bottomLeft" activeCell="A2" sqref="A2:XFD2"/>
    </sheetView>
  </sheetViews>
  <sheetFormatPr defaultColWidth="9" defaultRowHeight="15" x14ac:dyDescent="0.25"/>
  <cols>
    <col min="1" max="1" width="20.83203125" style="1" bestFit="1" customWidth="1"/>
    <col min="2" max="2" width="7" style="1" bestFit="1" customWidth="1"/>
    <col min="3" max="3" width="10.6640625" style="1" bestFit="1" customWidth="1"/>
    <col min="4" max="4" width="11.83203125" style="24" bestFit="1" customWidth="1"/>
    <col min="5" max="5" width="10" style="1" bestFit="1" customWidth="1"/>
    <col min="6" max="6" width="11.1640625" style="24" bestFit="1" customWidth="1"/>
    <col min="7" max="9" width="5.83203125" style="1" bestFit="1" customWidth="1"/>
    <col min="10" max="12" width="7.83203125" style="1" bestFit="1" customWidth="1"/>
    <col min="13" max="15" width="7" style="1" bestFit="1" customWidth="1"/>
    <col min="16" max="18" width="5.83203125" style="1" bestFit="1" customWidth="1"/>
    <col min="19" max="20" width="7.5" style="1" bestFit="1" customWidth="1"/>
    <col min="21" max="23" width="6.1640625" style="1" bestFit="1" customWidth="1"/>
    <col min="24" max="24" width="12.5" style="47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FD1048576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E10" sqref="E10"/>
    </sheetView>
  </sheetViews>
  <sheetFormatPr defaultColWidth="11" defaultRowHeight="15" x14ac:dyDescent="0.25"/>
  <cols>
    <col min="1" max="1" width="9" style="1" bestFit="1" customWidth="1"/>
    <col min="2" max="2" width="72.83203125" style="1" bestFit="1" customWidth="1"/>
    <col min="3" max="3" width="32" style="1" bestFit="1" customWidth="1"/>
    <col min="4" max="4" width="11" style="1"/>
    <col min="5" max="5" width="16.16406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D3" s="1" t="s">
        <v>178</v>
      </c>
      <c r="E3" s="1">
        <v>5</v>
      </c>
    </row>
    <row r="4" spans="1:5" x14ac:dyDescent="0.25">
      <c r="A4" s="6">
        <v>2</v>
      </c>
      <c r="B4" s="2" t="s">
        <v>46</v>
      </c>
      <c r="C4" s="2"/>
      <c r="D4" s="1" t="s">
        <v>178</v>
      </c>
      <c r="E4" s="1">
        <v>5</v>
      </c>
    </row>
    <row r="5" spans="1:5" x14ac:dyDescent="0.25">
      <c r="A5" s="6">
        <v>3</v>
      </c>
      <c r="B5" s="2" t="s">
        <v>104</v>
      </c>
      <c r="C5" s="34" t="s">
        <v>177</v>
      </c>
      <c r="D5" s="1">
        <f>SUMIF(Dataset!H2:H40,"&gt;20")</f>
        <v>1473.0000000000002</v>
      </c>
      <c r="E5" s="1">
        <v>10</v>
      </c>
    </row>
    <row r="6" spans="1:5" x14ac:dyDescent="0.25">
      <c r="A6" s="6">
        <v>4</v>
      </c>
      <c r="B6" s="2" t="s">
        <v>106</v>
      </c>
      <c r="C6" s="2"/>
      <c r="D6" s="1" t="s">
        <v>178</v>
      </c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F7" sqref="F7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164</v>
      </c>
    </row>
    <row r="2" spans="1:7" s="41" customFormat="1" ht="21" x14ac:dyDescent="0.35">
      <c r="B2" s="41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 cm="1">
        <f t="array" ref="B6:F6">VLOOKUP(A6,Dataset!$A$1:$X$40,{7,8,18,20,22},0)</f>
        <v>2.7</v>
      </c>
      <c r="C6" s="12">
        <v>3.6</v>
      </c>
      <c r="D6" s="12">
        <v>4.2</v>
      </c>
      <c r="E6" s="12">
        <v>8.9</v>
      </c>
      <c r="F6" s="8">
        <v>4.2</v>
      </c>
    </row>
    <row r="7" spans="1:7" ht="15" x14ac:dyDescent="0.25">
      <c r="A7" s="7" t="s">
        <v>4</v>
      </c>
      <c r="B7" s="12" cm="1">
        <f t="array" ref="B7:F7">VLOOKUP(A7,Dataset!$A$1:$X$40,{7,8,18,20,22},0)</f>
        <v>2.7</v>
      </c>
      <c r="C7" s="12">
        <v>3.6</v>
      </c>
      <c r="D7" s="12">
        <v>4.2</v>
      </c>
      <c r="E7" s="12">
        <v>8.9</v>
      </c>
      <c r="F7" s="8">
        <v>4.2</v>
      </c>
    </row>
    <row r="8" spans="1:7" ht="15" x14ac:dyDescent="0.25">
      <c r="A8" s="7" t="s">
        <v>7</v>
      </c>
      <c r="B8" s="12" cm="1">
        <f t="array" ref="B8:F8">VLOOKUP(A8,Dataset!$A$1:$X$40,{7,8,18,20,22},0)</f>
        <v>3.6</v>
      </c>
      <c r="C8" s="12">
        <v>5.4</v>
      </c>
      <c r="D8" s="12">
        <v>5.8</v>
      </c>
      <c r="E8" s="12">
        <v>12.2</v>
      </c>
      <c r="F8" s="8">
        <v>5.8</v>
      </c>
    </row>
    <row r="9" spans="1:7" ht="15" x14ac:dyDescent="0.25">
      <c r="A9" s="7" t="s">
        <v>8</v>
      </c>
      <c r="B9" s="12" cm="1">
        <f t="array" ref="B9:F9">VLOOKUP(A9,Dataset!$A$1:$X$40,{7,8,18,20,22},0)</f>
        <v>4.9000000000000004</v>
      </c>
      <c r="C9" s="12">
        <v>6.6</v>
      </c>
      <c r="D9" s="12">
        <v>8.1</v>
      </c>
      <c r="E9" s="12">
        <v>17</v>
      </c>
      <c r="F9" s="8">
        <v>8.1</v>
      </c>
    </row>
    <row r="10" spans="1:7" ht="15" x14ac:dyDescent="0.25">
      <c r="A10" s="7" t="s">
        <v>11</v>
      </c>
      <c r="B10" s="12" cm="1">
        <f t="array" ref="B10:F10">VLOOKUP(A10,Dataset!$A$1:$X$40,{7,8,18,20,22},0)</f>
        <v>9.4</v>
      </c>
      <c r="C10" s="12">
        <v>13.8</v>
      </c>
      <c r="D10" s="12">
        <v>16.100000000000001</v>
      </c>
      <c r="E10" s="12">
        <v>32.799999999999997</v>
      </c>
      <c r="F10" s="8">
        <v>16.100000000000001</v>
      </c>
    </row>
    <row r="11" spans="1:7" ht="15" x14ac:dyDescent="0.25">
      <c r="A11" s="7" t="s">
        <v>12</v>
      </c>
      <c r="B11" s="12" cm="1">
        <f t="array" ref="B11:F11">VLOOKUP(A11,Dataset!$A$1:$X$40,{7,8,18,20,22},0)</f>
        <v>11.6</v>
      </c>
      <c r="C11" s="12">
        <v>17.3</v>
      </c>
      <c r="D11" s="12">
        <v>21.3</v>
      </c>
      <c r="E11" s="12">
        <v>43</v>
      </c>
      <c r="F11" s="8">
        <v>21.3</v>
      </c>
    </row>
    <row r="12" spans="1:7" ht="15" x14ac:dyDescent="0.25">
      <c r="A12" s="7" t="s">
        <v>14</v>
      </c>
      <c r="B12" s="12" cm="1">
        <f t="array" ref="B12:F12">VLOOKUP(A12,Dataset!$A$1:$X$40,{7,8,18,20,22},0)</f>
        <v>18.399999999999999</v>
      </c>
      <c r="C12" s="12">
        <v>27.5</v>
      </c>
      <c r="D12" s="12">
        <v>33.799999999999997</v>
      </c>
      <c r="E12" s="12">
        <v>67.900000000000006</v>
      </c>
      <c r="F12" s="8">
        <v>33.799999999999997</v>
      </c>
    </row>
    <row r="13" spans="1:7" ht="15" x14ac:dyDescent="0.25">
      <c r="A13" s="7" t="s">
        <v>15</v>
      </c>
      <c r="B13" s="12" cm="1">
        <f t="array" ref="B13:F13">VLOOKUP(A13,Dataset!$A$1:$X$40,{7,8,18,20,22},0)</f>
        <v>0</v>
      </c>
      <c r="C13" s="12">
        <v>0</v>
      </c>
      <c r="D13" s="12">
        <v>0</v>
      </c>
      <c r="E13" s="12">
        <v>0</v>
      </c>
      <c r="F13" s="8">
        <v>0</v>
      </c>
    </row>
    <row r="14" spans="1:7" ht="15" x14ac:dyDescent="0.25">
      <c r="A14" s="7" t="s">
        <v>16</v>
      </c>
      <c r="B14" s="12" cm="1">
        <f t="array" ref="B14:F14">VLOOKUP(A14,Dataset!$A$1:$X$40,{7,8,18,20,22},0)</f>
        <v>21.9</v>
      </c>
      <c r="C14" s="12">
        <v>32.1</v>
      </c>
      <c r="D14" s="12">
        <v>40.1</v>
      </c>
      <c r="E14" s="12">
        <v>76.599999999999994</v>
      </c>
      <c r="F14" s="8">
        <v>40.1</v>
      </c>
    </row>
    <row r="15" spans="1:7" ht="15" x14ac:dyDescent="0.25">
      <c r="A15" s="7" t="s">
        <v>18</v>
      </c>
      <c r="B15" s="12" cm="1">
        <f t="array" ref="B15:F15">VLOOKUP(A15,Dataset!$A$1:$X$40,{7,8,18,20,22},0)</f>
        <v>26.8</v>
      </c>
      <c r="C15" s="12">
        <v>39.299999999999997</v>
      </c>
      <c r="D15" s="12">
        <v>47.9</v>
      </c>
      <c r="E15" s="12">
        <v>96.8</v>
      </c>
      <c r="F15" s="8">
        <v>47.9</v>
      </c>
    </row>
    <row r="16" spans="1:7" ht="15" x14ac:dyDescent="0.25">
      <c r="A16" s="7" t="s">
        <v>20</v>
      </c>
      <c r="B16" s="12" cm="1">
        <f t="array" ref="B16:F16">VLOOKUP(A16,Dataset!$A$1:$X$40,{7,8,18,20,22},0)</f>
        <v>28.5</v>
      </c>
      <c r="C16" s="12">
        <v>42.3</v>
      </c>
      <c r="D16" s="12">
        <v>52.3</v>
      </c>
      <c r="E16" s="12">
        <v>106.1</v>
      </c>
      <c r="F16" s="8">
        <v>52.3</v>
      </c>
    </row>
    <row r="17" spans="1:6" ht="15" x14ac:dyDescent="0.25">
      <c r="A17" s="7" t="s">
        <v>22</v>
      </c>
      <c r="B17" s="12" cm="1">
        <f t="array" ref="B17:F17">VLOOKUP(A17,Dataset!$A$1:$X$40,{7,8,18,20,22},0)</f>
        <v>30.7</v>
      </c>
      <c r="C17" s="12">
        <v>45.5</v>
      </c>
      <c r="D17" s="12">
        <v>57</v>
      </c>
      <c r="E17" s="12">
        <v>115.1</v>
      </c>
      <c r="F17" s="8">
        <v>57</v>
      </c>
    </row>
    <row r="18" spans="1:6" ht="15" x14ac:dyDescent="0.25">
      <c r="A18" s="7" t="s">
        <v>23</v>
      </c>
      <c r="B18" s="12" cm="1">
        <f t="array" ref="B18:F18">VLOOKUP(A18,Dataset!$A$1:$X$40,{7,8,18,20,22},0)</f>
        <v>33.799999999999997</v>
      </c>
      <c r="C18" s="12">
        <v>50.1</v>
      </c>
      <c r="D18" s="12">
        <v>61.4</v>
      </c>
      <c r="E18" s="12">
        <v>124.4</v>
      </c>
      <c r="F18" s="8">
        <v>61.4</v>
      </c>
    </row>
    <row r="19" spans="1:6" ht="15" x14ac:dyDescent="0.25">
      <c r="A19" s="7" t="s">
        <v>24</v>
      </c>
      <c r="B19" s="12" cm="1">
        <f t="array" ref="B19:F19">VLOOKUP(A19,Dataset!$A$1:$X$40,{7,8,18,20,22},0)</f>
        <v>34.700000000000003</v>
      </c>
      <c r="C19" s="12">
        <v>52.3</v>
      </c>
      <c r="D19" s="12">
        <v>63.6</v>
      </c>
      <c r="E19" s="12">
        <v>128.6</v>
      </c>
      <c r="F19" s="8">
        <v>63.6</v>
      </c>
    </row>
    <row r="20" spans="1:6" ht="15" x14ac:dyDescent="0.25">
      <c r="A20" s="7" t="s">
        <v>28</v>
      </c>
      <c r="B20" s="12" cm="1">
        <f t="array" ref="B20:F20">VLOOKUP(A20,Dataset!$A$1:$X$40,{7,8,18,20,22},0)</f>
        <v>0</v>
      </c>
      <c r="C20" s="12">
        <v>0</v>
      </c>
      <c r="D20" s="12">
        <v>0</v>
      </c>
      <c r="E20" s="12">
        <v>0</v>
      </c>
      <c r="F20" s="8">
        <v>0</v>
      </c>
    </row>
    <row r="21" spans="1:6" ht="15" x14ac:dyDescent="0.25">
      <c r="A21" s="7" t="s">
        <v>57</v>
      </c>
      <c r="B21" s="12" cm="1">
        <f t="array" ref="B21:F21">VLOOKUP(A21,Dataset!$A$1:$X$40,{7,8,18,20,22},0)</f>
        <v>41.3</v>
      </c>
      <c r="C21" s="12">
        <v>61.4</v>
      </c>
      <c r="D21" s="12">
        <v>75</v>
      </c>
      <c r="E21" s="12">
        <v>151.5</v>
      </c>
      <c r="F21" s="8">
        <v>75</v>
      </c>
    </row>
    <row r="22" spans="1:6" ht="15" x14ac:dyDescent="0.25">
      <c r="A22" s="7" t="s">
        <v>58</v>
      </c>
      <c r="B22" s="12" cm="1">
        <f t="array" ref="B22:F22">VLOOKUP(A22,Dataset!$A$1:$X$40,{7,8,18,20,22},0)</f>
        <v>-1</v>
      </c>
      <c r="C22" s="12">
        <v>-1</v>
      </c>
      <c r="D22" s="12">
        <v>-1</v>
      </c>
      <c r="E22" s="12">
        <v>-1</v>
      </c>
      <c r="F22" s="8">
        <v>-1</v>
      </c>
    </row>
    <row r="23" spans="1:6" ht="15" x14ac:dyDescent="0.25">
      <c r="A23" s="7" t="s">
        <v>31</v>
      </c>
      <c r="B23" s="12" cm="1">
        <f t="array" ref="B23:F23">VLOOKUP(A23,Dataset!$A$1:$X$40,{7,8,18,20,22},0)</f>
        <v>45</v>
      </c>
      <c r="C23" s="12">
        <v>65.900000000000006</v>
      </c>
      <c r="D23" s="12">
        <v>79.400000000000006</v>
      </c>
      <c r="E23" s="12">
        <v>160.9</v>
      </c>
      <c r="F23" s="8">
        <v>79.400000000000006</v>
      </c>
    </row>
    <row r="24" spans="1:6" ht="15" x14ac:dyDescent="0.25">
      <c r="A24" s="7" t="s">
        <v>32</v>
      </c>
      <c r="B24" s="12" cm="1">
        <f t="array" ref="B24:F24">VLOOKUP(A24,Dataset!$A$1:$X$40,{7,8,18,20,22},0)</f>
        <v>-1</v>
      </c>
      <c r="C24" s="12">
        <v>-1</v>
      </c>
      <c r="D24" s="12">
        <v>-1</v>
      </c>
      <c r="E24" s="12">
        <v>-1</v>
      </c>
      <c r="F24" s="8">
        <v>-1</v>
      </c>
    </row>
    <row r="25" spans="1:6" ht="15" x14ac:dyDescent="0.25">
      <c r="A25" s="7" t="s">
        <v>34</v>
      </c>
      <c r="B25" s="12" cm="1">
        <f t="array" ref="B25:F25">VLOOKUP(A25,Dataset!$A$1:$X$40,{7,8,18,20,22},0)</f>
        <v>43.3</v>
      </c>
      <c r="C25" s="12">
        <v>63.6</v>
      </c>
      <c r="D25" s="12">
        <v>79.400000000000006</v>
      </c>
      <c r="E25" s="12">
        <v>160.9</v>
      </c>
      <c r="F25" s="8">
        <v>79.400000000000006</v>
      </c>
    </row>
    <row r="26" spans="1:6" ht="15" x14ac:dyDescent="0.25">
      <c r="A26" s="7" t="s">
        <v>37</v>
      </c>
      <c r="B26" s="12" cm="1">
        <f t="array" ref="B26:F26">VLOOKUP(A26,Dataset!$A$1:$X$40,{7,8,18,20,22},0)</f>
        <v>49.1</v>
      </c>
      <c r="C26" s="12">
        <v>72.8</v>
      </c>
      <c r="D26" s="12">
        <v>90.9</v>
      </c>
      <c r="E26" s="12">
        <v>183.5</v>
      </c>
      <c r="F26" s="8">
        <v>90.9</v>
      </c>
    </row>
    <row r="27" spans="1:6" ht="15" x14ac:dyDescent="0.25">
      <c r="A27" s="7" t="s">
        <v>39</v>
      </c>
      <c r="B27" s="12" cm="1">
        <f t="array" ref="B27:F27">VLOOKUP(A27,Dataset!$A$1:$X$40,{7,8,18,20,22},0)</f>
        <v>51.8</v>
      </c>
      <c r="C27" s="12">
        <v>77.2</v>
      </c>
      <c r="D27" s="12">
        <v>93.1</v>
      </c>
      <c r="E27" s="12">
        <v>188.1</v>
      </c>
      <c r="F27" s="8">
        <v>93.1</v>
      </c>
    </row>
    <row r="28" spans="1:6" ht="15" x14ac:dyDescent="0.25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5" x14ac:dyDescent="0.25">
      <c r="A29" s="19" t="s">
        <v>83</v>
      </c>
      <c r="B29" s="31">
        <f>MAX(B6:B27)</f>
        <v>51.8</v>
      </c>
      <c r="C29" s="31">
        <f t="shared" ref="C29:F29" si="1">MAX(C6:C27)</f>
        <v>77.2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5" x14ac:dyDescent="0.25">
      <c r="A30" s="19" t="s">
        <v>84</v>
      </c>
      <c r="B30" s="31">
        <f>AVERAGE(B6:B27)</f>
        <v>20.827272727272728</v>
      </c>
      <c r="C30" s="31">
        <f t="shared" ref="C30:F30" si="2">AVERAGE(C6:C27)</f>
        <v>30.831818181818186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D9" sqref="D9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3" t="s">
        <v>53</v>
      </c>
      <c r="B5" s="1" t="s">
        <v>179</v>
      </c>
    </row>
    <row r="6" spans="1:10" ht="18.75" x14ac:dyDescent="0.3">
      <c r="A6" s="43" t="s">
        <v>153</v>
      </c>
      <c r="B6" s="1" t="s">
        <v>180</v>
      </c>
    </row>
    <row r="7" spans="1:10" ht="18.75" x14ac:dyDescent="0.3">
      <c r="A7" s="43"/>
      <c r="B7" s="40"/>
    </row>
    <row r="9" spans="1:10" ht="23.25" x14ac:dyDescent="0.35">
      <c r="A9" s="18" t="s">
        <v>165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8" sqref="B8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167</v>
      </c>
    </row>
    <row r="2" spans="1:3" ht="18.75" x14ac:dyDescent="0.3">
      <c r="B2" s="40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181</v>
      </c>
    </row>
    <row r="7" spans="1:3" ht="15" x14ac:dyDescent="0.25">
      <c r="A7" s="3" t="s">
        <v>153</v>
      </c>
      <c r="B7" s="1" t="s">
        <v>182</v>
      </c>
    </row>
    <row r="10" spans="1:3" ht="23.25" x14ac:dyDescent="0.35">
      <c r="A10" s="18" t="s">
        <v>162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 t="e">
        <v>#N/A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 t="e">
        <v>#N/A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154</v>
      </c>
      <c r="C17" s="17">
        <v>150</v>
      </c>
    </row>
    <row r="18" spans="1:3" ht="15" x14ac:dyDescent="0.25">
      <c r="A18" s="32">
        <v>44933</v>
      </c>
      <c r="B18" s="17" t="s">
        <v>155</v>
      </c>
      <c r="C18" s="17">
        <v>80</v>
      </c>
    </row>
    <row r="19" spans="1:3" ht="15" x14ac:dyDescent="0.25">
      <c r="A19" s="32">
        <v>44934</v>
      </c>
      <c r="B19" s="17" t="s">
        <v>156</v>
      </c>
      <c r="C19" s="17" t="e">
        <v>#N/A</v>
      </c>
    </row>
    <row r="20" spans="1:3" ht="15" x14ac:dyDescent="0.25">
      <c r="A20" s="32">
        <v>44935</v>
      </c>
      <c r="B20" s="17" t="s">
        <v>157</v>
      </c>
      <c r="C20" s="17">
        <v>30</v>
      </c>
    </row>
    <row r="21" spans="1:3" ht="15" x14ac:dyDescent="0.25">
      <c r="A21" s="32">
        <v>44936</v>
      </c>
      <c r="B21" s="17" t="s">
        <v>158</v>
      </c>
      <c r="C21" s="17" t="e">
        <v>#N/A</v>
      </c>
    </row>
    <row r="22" spans="1:3" ht="15" x14ac:dyDescent="0.25">
      <c r="B22" s="17" t="s">
        <v>159</v>
      </c>
      <c r="C22" s="2" cm="1">
        <f t="array" ref="C22">SUM(IFERROR(C12:C21,20))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13" zoomScaleNormal="100" workbookViewId="0">
      <selection activeCell="M30" sqref="M30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175</v>
      </c>
    </row>
    <row r="3" spans="1:14" ht="15" x14ac:dyDescent="0.25">
      <c r="B3" s="1" t="s">
        <v>151</v>
      </c>
    </row>
    <row r="4" spans="1:14" ht="18.75" x14ac:dyDescent="0.3">
      <c r="A4" s="43" t="s">
        <v>53</v>
      </c>
      <c r="B4" s="1"/>
    </row>
    <row r="5" spans="1:14" ht="18.75" x14ac:dyDescent="0.3">
      <c r="A5" s="43" t="s">
        <v>153</v>
      </c>
      <c r="B5" s="1"/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/>
    </row>
    <row r="24" spans="1:14" ht="15" x14ac:dyDescent="0.25">
      <c r="A24" s="7">
        <v>10100</v>
      </c>
      <c r="B24" s="12">
        <v>10104</v>
      </c>
      <c r="C24" s="44"/>
    </row>
    <row r="25" spans="1:14" ht="15" x14ac:dyDescent="0.25">
      <c r="A25" s="7">
        <v>10108</v>
      </c>
      <c r="B25" s="12">
        <v>10102</v>
      </c>
      <c r="C25" s="44"/>
    </row>
    <row r="26" spans="1:14" ht="15" x14ac:dyDescent="0.25">
      <c r="A26" s="7">
        <v>10100</v>
      </c>
      <c r="B26" s="12">
        <v>10106</v>
      </c>
      <c r="C26" s="44"/>
    </row>
    <row r="27" spans="1:14" ht="15" x14ac:dyDescent="0.25">
      <c r="A27" s="7">
        <v>10108</v>
      </c>
      <c r="B27" s="12">
        <v>10110</v>
      </c>
      <c r="C27" s="44"/>
    </row>
    <row r="28" spans="1:14" ht="15" x14ac:dyDescent="0.25">
      <c r="A28" s="7">
        <v>10102</v>
      </c>
      <c r="B28" s="12">
        <v>10104</v>
      </c>
      <c r="C28" s="44"/>
    </row>
    <row r="29" spans="1:14" ht="15" x14ac:dyDescent="0.25">
      <c r="A29" s="7">
        <v>10106</v>
      </c>
      <c r="B29" s="12">
        <v>10108</v>
      </c>
      <c r="C29" s="44"/>
    </row>
    <row r="30" spans="1:14" ht="15" x14ac:dyDescent="0.25">
      <c r="A30" s="7">
        <v>10102</v>
      </c>
      <c r="B30" s="12">
        <v>10106</v>
      </c>
      <c r="C30" s="44"/>
    </row>
    <row r="31" spans="1:14" ht="15" x14ac:dyDescent="0.25">
      <c r="A31" s="7">
        <v>10110</v>
      </c>
      <c r="B31" s="12">
        <v>10114</v>
      </c>
      <c r="C31" s="44"/>
    </row>
    <row r="32" spans="1:14" ht="15" x14ac:dyDescent="0.25">
      <c r="A32" s="7">
        <v>10104</v>
      </c>
      <c r="B32" s="12">
        <v>10106</v>
      </c>
      <c r="C32" s="44"/>
    </row>
    <row r="33" spans="1:3" ht="15" x14ac:dyDescent="0.25">
      <c r="A33" s="7">
        <v>10110</v>
      </c>
      <c r="B33" s="12">
        <v>10112</v>
      </c>
      <c r="C33" s="44"/>
    </row>
    <row r="34" spans="1:3" ht="15" x14ac:dyDescent="0.25">
      <c r="A34" s="7">
        <v>10100</v>
      </c>
      <c r="B34" s="12">
        <v>10114</v>
      </c>
      <c r="C34" s="44"/>
    </row>
    <row r="35" spans="1:3" ht="15" x14ac:dyDescent="0.25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Dinesh Bendugade</cp:lastModifiedBy>
  <dcterms:created xsi:type="dcterms:W3CDTF">2015-02-10T17:33:11Z</dcterms:created>
  <dcterms:modified xsi:type="dcterms:W3CDTF">2023-12-09T16:27:18Z</dcterms:modified>
</cp:coreProperties>
</file>